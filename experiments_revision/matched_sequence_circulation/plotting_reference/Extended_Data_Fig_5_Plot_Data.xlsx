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3550\Downloads\"/>
    </mc:Choice>
  </mc:AlternateContent>
  <bookViews>
    <workbookView windowHeight="17680" activeTab="3"/>
  </bookViews>
  <sheets>
    <sheet name="a Substitutions" sheetId="1" r:id="rId1"/>
    <sheet name="b ProteinMPNN" sheetId="2" r:id="rId2"/>
    <sheet name="c pLM optimization" sheetId="3" r:id="rId3"/>
    <sheet name="d Structural fidel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<sst xmlns="http://schemas.openxmlformats.org/spreadsheetml/2006/main" count="112" uniqueCount="21">
  <si>
    <t>a. Conservative substitutions</t>
  </si>
  <si>
    <t>Final identity (%)</t>
  </si>
  <si>
    <t>Method</t>
  </si>
  <si>
    <t>Point 1</t>
  </si>
  <si>
    <t>Point 2</t>
  </si>
  <si>
    <t>Point 3</t>
  </si>
  <si>
    <t>Point 4</t>
  </si>
  <si>
    <t>Point 5</t>
  </si>
  <si>
    <t>Mean</t>
  </si>
  <si>
    <t>Sample SD</t>
  </si>
  <si>
    <t>Chen et al.</t>
  </si>
  <si>
    <t>SynthIDBio-sequence</t>
  </si>
  <si>
    <t>SynthIDBio-structure</t>
  </si>
  <si>
    <t>FoldMark</t>
  </si>
  <si>
    <t>b. ProteinMPNN partial redesign</t>
  </si>
  <si>
    <t>c. pLM-guided optimization</t>
  </si>
  <si>
    <t>d. Structural fidelity after clean AF3 refolding</t>
  </si>
  <si>
    <t>Editing operation</t>
  </si>
  <si>
    <t>Conservative substitutions</t>
  </si>
  <si>
    <t>ProteinMPNN redesign</t>
  </si>
  <si>
    <t>pLM-guided optimization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</si>
</sst>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#"/>
    <numFmt numFmtId="178" formatCode="0.0"/>
  </numFmts>
  <fonts count="24">
    <font>
      <sz val="11"/>
      <name val="Carlito"/>
      <charset val="134"/>
    </font>
    <font>
      <b/>
      <sz val="14"/>
      <color rgb="FF20364A"/>
      <name val="Arial"/>
      <charset val="134"/>
    </font>
    <font>
      <sz val="10"/>
      <color rgb="FF20364A"/>
      <name val="Arial"/>
      <charset val="134"/>
    </font>
    <font>
      <b/>
      <sz val="10"/>
      <color rgb="FF20364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F0F5"/>
        <bgColor indexed="64"/>
      </patternFill>
    </fill>
    <fill>
      <patternFill patternType="solid">
        <fgColor rgb="FFF0F5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CE5E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3" fillId="2" borderId="0" xfId="49" applyNumberFormat="1" applyFont="1" applyFill="1" applyBorder="1" applyAlignment="1">
      <alignment horizontal="center" vertical="center"/>
    </xf>
    <xf numFmtId="176" fontId="2" fillId="0" borderId="0" xfId="49" applyNumberFormat="1" applyFont="1" applyFill="1" applyBorder="1" applyAlignment="1">
      <alignment vertical="center"/>
    </xf>
    <xf numFmtId="176" fontId="2" fillId="3" borderId="0" xfId="49" applyNumberFormat="1" applyFont="1" applyFill="1" applyBorder="1" applyAlignment="1">
      <alignment vertical="center"/>
    </xf>
    <xf numFmtId="0" fontId="2" fillId="0" borderId="1" xfId="49" applyNumberFormat="1" applyFont="1" applyFill="1" applyBorder="1" applyAlignment="1">
      <alignment vertical="center"/>
    </xf>
    <xf numFmtId="176" fontId="2" fillId="0" borderId="1" xfId="49" applyNumberFormat="1" applyFont="1" applyFill="1" applyBorder="1" applyAlignment="1">
      <alignment vertical="center"/>
    </xf>
    <xf numFmtId="176" fontId="2" fillId="3" borderId="1" xfId="49" applyNumberFormat="1" applyFont="1" applyFill="1" applyBorder="1" applyAlignment="1">
      <alignment vertical="center"/>
    </xf>
    <xf numFmtId="1" fontId="2" fillId="0" borderId="0" xfId="49" applyNumberFormat="1" applyFont="1" applyFill="1" applyBorder="1" applyAlignment="1">
      <alignment horizontal="center" vertical="center"/>
    </xf>
    <xf numFmtId="177" fontId="2" fillId="0" borderId="0" xfId="49" applyNumberFormat="1" applyFont="1" applyFill="1" applyBorder="1" applyAlignment="1">
      <alignment vertical="center"/>
    </xf>
    <xf numFmtId="178" fontId="2" fillId="3" borderId="0" xfId="49" applyNumberFormat="1" applyFont="1" applyFill="1" applyBorder="1" applyAlignment="1">
      <alignment vertical="center"/>
    </xf>
    <xf numFmtId="1" fontId="2" fillId="0" borderId="1" xfId="49" applyNumberFormat="1" applyFont="1" applyFill="1" applyBorder="1" applyAlignment="1">
      <alignment horizontal="center" vertical="center"/>
    </xf>
    <xf numFmtId="177" fontId="2" fillId="0" borderId="1" xfId="49" applyNumberFormat="1" applyFont="1" applyFill="1" applyBorder="1" applyAlignment="1">
      <alignment vertical="center"/>
    </xf>
    <xf numFmtId="178" fontId="2" fillId="3" borderId="1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774"/>
  </sheetPr>
  <dimension ref="A1:I27"/>
  <sheetViews>
    <sheetView showGridLines="0" workbookViewId="0">
      <pane ySplit="2" topLeftCell="A4" activePane="bottomLeft" state="frozen"/>
      <selection/>
      <selection pane="bottomLeft" activeCell="A2" sqref="A2"/>
    </sheetView>
  </sheetViews>
  <sheetFormatPr defaultColWidth="9" defaultRowHeight="14"/>
  <cols>
    <col min="1" max="1" width="18.8916666666667" customWidth="1"/>
    <col min="2" max="2" width="19.1083333333333" customWidth="1"/>
    <col min="3" max="7" width="9.33333333333333" customWidth="1"/>
    <col min="8" max="8" width="9.55833333333333" customWidth="1"/>
    <col min="9" max="9" width="10.3333333333333" customWidth="1"/>
  </cols>
  <sheetData>
    <row r="1" ht="24" customHeight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8.75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16.5" customHeight="1" spans="1:9">
      <c r="A3" s="9">
        <v>100</v>
      </c>
      <c r="B3" s="2" t="s">
        <v>10</v>
      </c>
      <c r="C3" s="10">
        <v>98.3</v>
      </c>
      <c r="D3" s="10">
        <v>99</v>
      </c>
      <c r="E3" s="10">
        <v>99.3</v>
      </c>
      <c r="F3" s="10">
        <v>99.5</v>
      </c>
      <c r="G3" s="10">
        <v>99.9</v>
      </c>
      <c r="H3" s="11">
        <f t="shared" ref="H3:H18" si="0">IF(COUNT(C3:G3)=5,AVERAGE(C3:G3),"")</f>
        <v>99.2</v>
      </c>
      <c r="I3" s="11">
        <f t="shared" ref="I3:I18" si="1">IF(COUNT(C3:G3)=5,STDEV(C3:G3),"")</f>
        <v>0.600000000000003</v>
      </c>
    </row>
    <row r="4" ht="16.5" customHeight="1" spans="1:9">
      <c r="A4" s="9">
        <v>100</v>
      </c>
      <c r="B4" s="2" t="s">
        <v>11</v>
      </c>
      <c r="C4" s="10">
        <v>98.5</v>
      </c>
      <c r="D4" s="10">
        <v>98.7</v>
      </c>
      <c r="E4" s="10">
        <v>99.1</v>
      </c>
      <c r="F4" s="10">
        <v>99.2</v>
      </c>
      <c r="G4" s="10">
        <v>99.5</v>
      </c>
      <c r="H4" s="11">
        <f t="shared" si="0"/>
        <v>99</v>
      </c>
      <c r="I4" s="11">
        <f t="shared" si="1"/>
        <v>0.399999999999999</v>
      </c>
    </row>
    <row r="5" ht="16.5" customHeight="1" spans="1:9">
      <c r="A5" s="9">
        <v>100</v>
      </c>
      <c r="B5" s="2" t="s">
        <v>12</v>
      </c>
      <c r="C5" s="10">
        <v>85.9</v>
      </c>
      <c r="D5" s="10">
        <v>87</v>
      </c>
      <c r="E5" s="10">
        <v>88.1</v>
      </c>
      <c r="F5" s="10">
        <v>89.1</v>
      </c>
      <c r="G5" s="10">
        <v>89.9</v>
      </c>
      <c r="H5" s="11">
        <f t="shared" si="0"/>
        <v>88</v>
      </c>
      <c r="I5" s="11">
        <f t="shared" si="1"/>
        <v>1.6</v>
      </c>
    </row>
    <row r="6" ht="16.5" customHeight="1" spans="1:9">
      <c r="A6" s="12">
        <v>100</v>
      </c>
      <c r="B6" s="6" t="s">
        <v>13</v>
      </c>
      <c r="C6" s="13">
        <v>99.27</v>
      </c>
      <c r="D6" s="13">
        <v>99.86</v>
      </c>
      <c r="E6" s="13">
        <v>99.93</v>
      </c>
      <c r="F6" s="13">
        <v>99.95</v>
      </c>
      <c r="G6" s="13">
        <v>99.99</v>
      </c>
      <c r="H6" s="14">
        <f t="shared" si="0"/>
        <v>99.8</v>
      </c>
      <c r="I6" s="14">
        <f t="shared" si="1"/>
        <v>0.300000000000002</v>
      </c>
    </row>
    <row r="7" ht="16.5" customHeight="1" spans="1:9">
      <c r="A7" s="9">
        <v>95</v>
      </c>
      <c r="B7" s="2" t="s">
        <v>10</v>
      </c>
      <c r="C7" s="10">
        <v>67.8</v>
      </c>
      <c r="D7" s="10">
        <v>70.3</v>
      </c>
      <c r="E7" s="10">
        <v>71.9</v>
      </c>
      <c r="F7" s="10">
        <v>73.9</v>
      </c>
      <c r="G7" s="10">
        <v>76.1</v>
      </c>
      <c r="H7" s="11">
        <f t="shared" si="0"/>
        <v>72</v>
      </c>
      <c r="I7" s="11">
        <f t="shared" si="1"/>
        <v>3.2</v>
      </c>
    </row>
    <row r="8" ht="16.5" customHeight="1" spans="1:9">
      <c r="A8" s="9">
        <v>95</v>
      </c>
      <c r="B8" s="2" t="s">
        <v>11</v>
      </c>
      <c r="C8" s="10">
        <v>66.4</v>
      </c>
      <c r="D8" s="10">
        <v>68.7</v>
      </c>
      <c r="E8" s="10">
        <v>69.9</v>
      </c>
      <c r="F8" s="10">
        <v>71.5</v>
      </c>
      <c r="G8" s="10">
        <v>73.5</v>
      </c>
      <c r="H8" s="11">
        <f t="shared" si="0"/>
        <v>70</v>
      </c>
      <c r="I8" s="11">
        <f t="shared" si="1"/>
        <v>2.7</v>
      </c>
    </row>
    <row r="9" ht="16.5" customHeight="1" spans="1:9">
      <c r="A9" s="9">
        <v>95</v>
      </c>
      <c r="B9" s="2" t="s">
        <v>12</v>
      </c>
      <c r="C9" s="10">
        <v>60.7</v>
      </c>
      <c r="D9" s="10">
        <v>62.8</v>
      </c>
      <c r="E9" s="10">
        <v>65.1</v>
      </c>
      <c r="F9" s="10">
        <v>67.1</v>
      </c>
      <c r="G9" s="10">
        <v>69.3</v>
      </c>
      <c r="H9" s="11">
        <f t="shared" si="0"/>
        <v>65</v>
      </c>
      <c r="I9" s="11">
        <f t="shared" si="1"/>
        <v>3.4</v>
      </c>
    </row>
    <row r="10" ht="16.5" customHeight="1" spans="1:9">
      <c r="A10" s="12">
        <v>95</v>
      </c>
      <c r="B10" s="6" t="s">
        <v>13</v>
      </c>
      <c r="C10" s="13">
        <v>78.1</v>
      </c>
      <c r="D10" s="13">
        <v>79.9</v>
      </c>
      <c r="E10" s="13">
        <v>81.1</v>
      </c>
      <c r="F10" s="13">
        <v>82.5</v>
      </c>
      <c r="G10" s="13">
        <v>83.4</v>
      </c>
      <c r="H10" s="14">
        <f t="shared" si="0"/>
        <v>81</v>
      </c>
      <c r="I10" s="14">
        <f t="shared" si="1"/>
        <v>2.1</v>
      </c>
    </row>
    <row r="11" ht="16.5" customHeight="1" spans="1:9">
      <c r="A11" s="9">
        <v>90</v>
      </c>
      <c r="B11" s="2" t="s">
        <v>10</v>
      </c>
      <c r="C11" s="10">
        <v>38.1</v>
      </c>
      <c r="D11" s="10">
        <v>40.7</v>
      </c>
      <c r="E11" s="10">
        <v>43.2</v>
      </c>
      <c r="F11" s="10">
        <v>45.1</v>
      </c>
      <c r="G11" s="10">
        <v>47.9</v>
      </c>
      <c r="H11" s="11">
        <f t="shared" si="0"/>
        <v>43</v>
      </c>
      <c r="I11" s="11">
        <f t="shared" si="1"/>
        <v>3.8</v>
      </c>
    </row>
    <row r="12" ht="16.5" customHeight="1" spans="1:9">
      <c r="A12" s="9">
        <v>90</v>
      </c>
      <c r="B12" s="2" t="s">
        <v>11</v>
      </c>
      <c r="C12" s="10">
        <v>36.7</v>
      </c>
      <c r="D12" s="10">
        <v>38.5</v>
      </c>
      <c r="E12" s="10">
        <v>41.1</v>
      </c>
      <c r="F12" s="10">
        <v>43.4</v>
      </c>
      <c r="G12" s="10">
        <v>45.3</v>
      </c>
      <c r="H12" s="11">
        <f t="shared" si="0"/>
        <v>41</v>
      </c>
      <c r="I12" s="11">
        <f t="shared" si="1"/>
        <v>3.5</v>
      </c>
    </row>
    <row r="13" ht="16.5" customHeight="1" spans="1:9">
      <c r="A13" s="9">
        <v>90</v>
      </c>
      <c r="B13" s="2" t="s">
        <v>12</v>
      </c>
      <c r="C13" s="10">
        <v>35.3</v>
      </c>
      <c r="D13" s="10">
        <v>37.7</v>
      </c>
      <c r="E13" s="10">
        <v>40</v>
      </c>
      <c r="F13" s="10">
        <v>42.3</v>
      </c>
      <c r="G13" s="10">
        <v>44.7</v>
      </c>
      <c r="H13" s="11">
        <f t="shared" si="0"/>
        <v>40</v>
      </c>
      <c r="I13" s="11">
        <f t="shared" si="1"/>
        <v>3.7</v>
      </c>
    </row>
    <row r="14" ht="16.5" customHeight="1" spans="1:9">
      <c r="A14" s="12">
        <v>90</v>
      </c>
      <c r="B14" s="6" t="s">
        <v>13</v>
      </c>
      <c r="C14" s="13">
        <v>51.5</v>
      </c>
      <c r="D14" s="13">
        <v>53.1</v>
      </c>
      <c r="E14" s="13">
        <v>55.1</v>
      </c>
      <c r="F14" s="13">
        <v>56.8</v>
      </c>
      <c r="G14" s="13">
        <v>58.5</v>
      </c>
      <c r="H14" s="14">
        <f t="shared" si="0"/>
        <v>55</v>
      </c>
      <c r="I14" s="14">
        <f t="shared" si="1"/>
        <v>2.8</v>
      </c>
    </row>
    <row r="15" ht="16.5" customHeight="1" spans="1:9">
      <c r="A15" s="9">
        <v>80</v>
      </c>
      <c r="B15" s="2" t="s">
        <v>10</v>
      </c>
      <c r="C15" s="10">
        <v>11.6</v>
      </c>
      <c r="D15" s="10">
        <v>13.6</v>
      </c>
      <c r="E15" s="10">
        <v>15</v>
      </c>
      <c r="F15" s="10">
        <v>16.4</v>
      </c>
      <c r="G15" s="10">
        <v>18.4</v>
      </c>
      <c r="H15" s="11">
        <f t="shared" si="0"/>
        <v>15</v>
      </c>
      <c r="I15" s="11">
        <f t="shared" si="1"/>
        <v>2.6</v>
      </c>
    </row>
    <row r="16" ht="16.5" customHeight="1" spans="1:9">
      <c r="A16" s="9">
        <v>80</v>
      </c>
      <c r="B16" s="2" t="s">
        <v>11</v>
      </c>
      <c r="C16" s="10">
        <v>8.9</v>
      </c>
      <c r="D16" s="10">
        <v>11.5</v>
      </c>
      <c r="E16" s="10">
        <v>13.1</v>
      </c>
      <c r="F16" s="10">
        <v>14.8</v>
      </c>
      <c r="G16" s="10">
        <v>16.7</v>
      </c>
      <c r="H16" s="11">
        <f t="shared" si="0"/>
        <v>13</v>
      </c>
      <c r="I16" s="11">
        <f t="shared" si="1"/>
        <v>3</v>
      </c>
    </row>
    <row r="17" ht="16.5" customHeight="1" spans="1:9">
      <c r="A17" s="9">
        <v>80</v>
      </c>
      <c r="B17" s="2" t="s">
        <v>12</v>
      </c>
      <c r="C17" s="10">
        <v>8.9</v>
      </c>
      <c r="D17" s="10">
        <v>10.8</v>
      </c>
      <c r="E17" s="10">
        <v>12.1</v>
      </c>
      <c r="F17" s="10">
        <v>13.3</v>
      </c>
      <c r="G17" s="10">
        <v>14.9</v>
      </c>
      <c r="H17" s="11">
        <f t="shared" si="0"/>
        <v>12</v>
      </c>
      <c r="I17" s="11">
        <f t="shared" si="1"/>
        <v>2.3</v>
      </c>
    </row>
    <row r="18" ht="16.5" customHeight="1" spans="1:9">
      <c r="A18" s="12">
        <v>80</v>
      </c>
      <c r="B18" s="6" t="s">
        <v>13</v>
      </c>
      <c r="C18" s="13">
        <v>23.1</v>
      </c>
      <c r="D18" s="13">
        <v>25.7</v>
      </c>
      <c r="E18" s="13">
        <v>28.2</v>
      </c>
      <c r="F18" s="13">
        <v>30.1</v>
      </c>
      <c r="G18" s="13">
        <v>32.9</v>
      </c>
      <c r="H18" s="14">
        <f t="shared" si="0"/>
        <v>28</v>
      </c>
      <c r="I18" s="14">
        <f t="shared" si="1"/>
        <v>3.8</v>
      </c>
    </row>
    <row r="19" ht="16.5" customHeight="1"/>
    <row r="20" ht="16.5" customHeight="1"/>
    <row r="21" ht="16.5" customHeight="1"/>
    <row r="22" ht="18" customHeight="1"/>
    <row r="23" ht="18.75" customHeight="1"/>
    <row r="24" ht="16.5" customHeight="1"/>
    <row r="25" ht="16.5" customHeight="1"/>
    <row r="26" ht="16.5" customHeight="1"/>
    <row r="27" ht="16.5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774"/>
  </sheetPr>
  <dimension ref="A1:I27"/>
  <sheetViews>
    <sheetView showGridLines="0" workbookViewId="0">
      <pane ySplit="2" topLeftCell="A4" activePane="bottomLeft" state="frozen"/>
      <selection/>
      <selection pane="bottomLeft" activeCell="A2" sqref="A2"/>
    </sheetView>
  </sheetViews>
  <sheetFormatPr defaultColWidth="9" defaultRowHeight="14"/>
  <cols>
    <col min="1" max="1" width="18.8916666666667" customWidth="1"/>
    <col min="2" max="2" width="19.1083333333333" customWidth="1"/>
    <col min="3" max="7" width="9.33333333333333" customWidth="1"/>
    <col min="8" max="8" width="9.55833333333333" customWidth="1"/>
    <col min="9" max="9" width="10.3333333333333" customWidth="1"/>
  </cols>
  <sheetData>
    <row r="1" ht="24" customHeight="1" spans="1:9">
      <c r="A1" s="1" t="s">
        <v>14</v>
      </c>
      <c r="B1" s="2"/>
      <c r="C1" s="2"/>
      <c r="D1" s="2"/>
      <c r="E1" s="2"/>
      <c r="F1" s="2"/>
      <c r="G1" s="2"/>
      <c r="H1" s="2"/>
      <c r="I1" s="2"/>
    </row>
    <row r="2" ht="18.75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16.5" customHeight="1" spans="1:9">
      <c r="A3" s="9">
        <v>100</v>
      </c>
      <c r="B3" s="2" t="s">
        <v>10</v>
      </c>
      <c r="C3" s="10">
        <v>98.3</v>
      </c>
      <c r="D3" s="10">
        <v>99</v>
      </c>
      <c r="E3" s="10">
        <v>99.3</v>
      </c>
      <c r="F3" s="10">
        <v>99.5</v>
      </c>
      <c r="G3" s="10">
        <v>99.9</v>
      </c>
      <c r="H3" s="11">
        <f t="shared" ref="H3:H18" si="0">IF(COUNT(C3:G3)=5,AVERAGE(C3:G3),"")</f>
        <v>99.2</v>
      </c>
      <c r="I3" s="11">
        <f t="shared" ref="I3:I18" si="1">IF(COUNT(C3:G3)=5,STDEV(C3:G3),"")</f>
        <v>0.600000000000003</v>
      </c>
    </row>
    <row r="4" ht="16.5" customHeight="1" spans="1:9">
      <c r="A4" s="9">
        <v>100</v>
      </c>
      <c r="B4" s="2" t="s">
        <v>11</v>
      </c>
      <c r="C4" s="10">
        <v>98.5</v>
      </c>
      <c r="D4" s="10">
        <v>98.7</v>
      </c>
      <c r="E4" s="10">
        <v>99.1</v>
      </c>
      <c r="F4" s="10">
        <v>99.2</v>
      </c>
      <c r="G4" s="10">
        <v>99.5</v>
      </c>
      <c r="H4" s="11">
        <f t="shared" si="0"/>
        <v>99</v>
      </c>
      <c r="I4" s="11">
        <f t="shared" si="1"/>
        <v>0.399999999999999</v>
      </c>
    </row>
    <row r="5" ht="16.5" customHeight="1" spans="1:9">
      <c r="A5" s="9">
        <v>100</v>
      </c>
      <c r="B5" s="2" t="s">
        <v>12</v>
      </c>
      <c r="C5" s="10">
        <v>85.9</v>
      </c>
      <c r="D5" s="10">
        <v>87</v>
      </c>
      <c r="E5" s="10">
        <v>88.1</v>
      </c>
      <c r="F5" s="10">
        <v>89.1</v>
      </c>
      <c r="G5" s="10">
        <v>89.9</v>
      </c>
      <c r="H5" s="11">
        <f t="shared" si="0"/>
        <v>88</v>
      </c>
      <c r="I5" s="11">
        <f t="shared" si="1"/>
        <v>1.6</v>
      </c>
    </row>
    <row r="6" ht="16.5" customHeight="1" spans="1:9">
      <c r="A6" s="12">
        <v>100</v>
      </c>
      <c r="B6" s="6" t="s">
        <v>13</v>
      </c>
      <c r="C6" s="13">
        <v>99.27</v>
      </c>
      <c r="D6" s="13">
        <v>99.86</v>
      </c>
      <c r="E6" s="13">
        <v>99.93</v>
      </c>
      <c r="F6" s="13">
        <v>99.95</v>
      </c>
      <c r="G6" s="13">
        <v>99.99</v>
      </c>
      <c r="H6" s="14">
        <f t="shared" si="0"/>
        <v>99.8</v>
      </c>
      <c r="I6" s="14">
        <f t="shared" si="1"/>
        <v>0.300000000000002</v>
      </c>
    </row>
    <row r="7" ht="16.5" customHeight="1" spans="1:9">
      <c r="A7" s="9">
        <v>95</v>
      </c>
      <c r="B7" s="2" t="s">
        <v>10</v>
      </c>
      <c r="C7" s="10">
        <v>59.5</v>
      </c>
      <c r="D7" s="10">
        <v>61.4</v>
      </c>
      <c r="E7" s="10">
        <v>64.3</v>
      </c>
      <c r="F7" s="10">
        <v>66.5</v>
      </c>
      <c r="G7" s="10">
        <v>68.3</v>
      </c>
      <c r="H7" s="11">
        <f t="shared" si="0"/>
        <v>64</v>
      </c>
      <c r="I7" s="11">
        <f t="shared" si="1"/>
        <v>3.6</v>
      </c>
    </row>
    <row r="8" ht="16.5" customHeight="1" spans="1:9">
      <c r="A8" s="9">
        <v>95</v>
      </c>
      <c r="B8" s="2" t="s">
        <v>11</v>
      </c>
      <c r="C8" s="10">
        <v>57.5</v>
      </c>
      <c r="D8" s="10">
        <v>60.3</v>
      </c>
      <c r="E8" s="10">
        <v>62.1</v>
      </c>
      <c r="F8" s="10">
        <v>64.1</v>
      </c>
      <c r="G8" s="10">
        <v>66</v>
      </c>
      <c r="H8" s="11">
        <f t="shared" si="0"/>
        <v>62</v>
      </c>
      <c r="I8" s="11">
        <f t="shared" si="1"/>
        <v>3.3</v>
      </c>
    </row>
    <row r="9" ht="16.5" customHeight="1" spans="1:9">
      <c r="A9" s="9">
        <v>95</v>
      </c>
      <c r="B9" s="2" t="s">
        <v>12</v>
      </c>
      <c r="C9" s="10">
        <v>50.1</v>
      </c>
      <c r="D9" s="10">
        <v>52.7</v>
      </c>
      <c r="E9" s="10">
        <v>55.2</v>
      </c>
      <c r="F9" s="10">
        <v>57.1</v>
      </c>
      <c r="G9" s="10">
        <v>59.9</v>
      </c>
      <c r="H9" s="11">
        <f t="shared" si="0"/>
        <v>55</v>
      </c>
      <c r="I9" s="11">
        <f t="shared" si="1"/>
        <v>3.8</v>
      </c>
    </row>
    <row r="10" ht="16.5" customHeight="1" spans="1:9">
      <c r="A10" s="12">
        <v>95</v>
      </c>
      <c r="B10" s="6" t="s">
        <v>13</v>
      </c>
      <c r="C10" s="13">
        <v>70.6</v>
      </c>
      <c r="D10" s="13">
        <v>72.6</v>
      </c>
      <c r="E10" s="13">
        <v>74</v>
      </c>
      <c r="F10" s="13">
        <v>75.4</v>
      </c>
      <c r="G10" s="13">
        <v>77.4</v>
      </c>
      <c r="H10" s="14">
        <f t="shared" si="0"/>
        <v>74</v>
      </c>
      <c r="I10" s="14">
        <f t="shared" si="1"/>
        <v>2.6</v>
      </c>
    </row>
    <row r="11" ht="16.5" customHeight="1" spans="1:9">
      <c r="A11" s="9">
        <v>90</v>
      </c>
      <c r="B11" s="2" t="s">
        <v>10</v>
      </c>
      <c r="C11" s="10">
        <v>26.5</v>
      </c>
      <c r="D11" s="10">
        <v>29.3</v>
      </c>
      <c r="E11" s="10">
        <v>31.1</v>
      </c>
      <c r="F11" s="10">
        <v>33.1</v>
      </c>
      <c r="G11" s="10">
        <v>35</v>
      </c>
      <c r="H11" s="11">
        <f t="shared" si="0"/>
        <v>31</v>
      </c>
      <c r="I11" s="11">
        <f t="shared" si="1"/>
        <v>3.3</v>
      </c>
    </row>
    <row r="12" ht="16.5" customHeight="1" spans="1:9">
      <c r="A12" s="9">
        <v>90</v>
      </c>
      <c r="B12" s="2" t="s">
        <v>11</v>
      </c>
      <c r="C12" s="10">
        <v>24.3</v>
      </c>
      <c r="D12" s="10">
        <v>26.7</v>
      </c>
      <c r="E12" s="10">
        <v>29</v>
      </c>
      <c r="F12" s="10">
        <v>31.3</v>
      </c>
      <c r="G12" s="10">
        <v>33.7</v>
      </c>
      <c r="H12" s="11">
        <f t="shared" si="0"/>
        <v>29</v>
      </c>
      <c r="I12" s="11">
        <f t="shared" si="1"/>
        <v>3.7</v>
      </c>
    </row>
    <row r="13" ht="16.5" customHeight="1" spans="1:9">
      <c r="A13" s="9">
        <v>90</v>
      </c>
      <c r="B13" s="2" t="s">
        <v>12</v>
      </c>
      <c r="C13" s="10">
        <v>24.8</v>
      </c>
      <c r="D13" s="10">
        <v>27.3</v>
      </c>
      <c r="E13" s="10">
        <v>28.9</v>
      </c>
      <c r="F13" s="10">
        <v>30.9</v>
      </c>
      <c r="G13" s="10">
        <v>33.1</v>
      </c>
      <c r="H13" s="11">
        <f t="shared" si="0"/>
        <v>29</v>
      </c>
      <c r="I13" s="11">
        <f t="shared" si="1"/>
        <v>3.2</v>
      </c>
    </row>
    <row r="14" ht="16.5" customHeight="1" spans="1:9">
      <c r="A14" s="12">
        <v>90</v>
      </c>
      <c r="B14" s="6" t="s">
        <v>13</v>
      </c>
      <c r="C14" s="13">
        <v>38.8</v>
      </c>
      <c r="D14" s="13">
        <v>41.3</v>
      </c>
      <c r="E14" s="13">
        <v>42.9</v>
      </c>
      <c r="F14" s="13">
        <v>44.9</v>
      </c>
      <c r="G14" s="13">
        <v>47.1</v>
      </c>
      <c r="H14" s="14">
        <f t="shared" si="0"/>
        <v>43</v>
      </c>
      <c r="I14" s="14">
        <f t="shared" si="1"/>
        <v>3.2</v>
      </c>
    </row>
    <row r="15" ht="16.5" customHeight="1" spans="1:9">
      <c r="A15" s="9">
        <v>80</v>
      </c>
      <c r="B15" s="2" t="s">
        <v>10</v>
      </c>
      <c r="C15" s="10">
        <v>5.5</v>
      </c>
      <c r="D15" s="10">
        <v>6.9</v>
      </c>
      <c r="E15" s="10">
        <v>8.1</v>
      </c>
      <c r="F15" s="10">
        <v>9.1</v>
      </c>
      <c r="G15" s="10">
        <v>10.4</v>
      </c>
      <c r="H15" s="11">
        <f t="shared" si="0"/>
        <v>8</v>
      </c>
      <c r="I15" s="11">
        <f t="shared" si="1"/>
        <v>1.9</v>
      </c>
    </row>
    <row r="16" ht="16.5" customHeight="1" spans="1:9">
      <c r="A16" s="9">
        <v>80</v>
      </c>
      <c r="B16" s="2" t="s">
        <v>11</v>
      </c>
      <c r="C16" s="10">
        <v>3.1</v>
      </c>
      <c r="D16" s="10">
        <v>4.7</v>
      </c>
      <c r="E16" s="10">
        <v>6.1</v>
      </c>
      <c r="F16" s="10">
        <v>7.4</v>
      </c>
      <c r="G16" s="10">
        <v>8.7</v>
      </c>
      <c r="H16" s="11">
        <f t="shared" si="0"/>
        <v>6</v>
      </c>
      <c r="I16" s="11">
        <f t="shared" si="1"/>
        <v>2.2</v>
      </c>
    </row>
    <row r="17" ht="16.5" customHeight="1" spans="1:9">
      <c r="A17" s="9">
        <v>80</v>
      </c>
      <c r="B17" s="2" t="s">
        <v>12</v>
      </c>
      <c r="C17" s="10">
        <v>4.7</v>
      </c>
      <c r="D17" s="10">
        <v>6.2</v>
      </c>
      <c r="E17" s="10">
        <v>6.9</v>
      </c>
      <c r="F17" s="10">
        <v>8.1</v>
      </c>
      <c r="G17" s="10">
        <v>9.1</v>
      </c>
      <c r="H17" s="11">
        <f t="shared" si="0"/>
        <v>7</v>
      </c>
      <c r="I17" s="11">
        <f t="shared" si="1"/>
        <v>1.7</v>
      </c>
    </row>
    <row r="18" ht="16.5" customHeight="1" spans="1:9">
      <c r="A18" s="12">
        <v>80</v>
      </c>
      <c r="B18" s="6" t="s">
        <v>13</v>
      </c>
      <c r="C18" s="13">
        <v>12.6</v>
      </c>
      <c r="D18" s="13">
        <v>15.8</v>
      </c>
      <c r="E18" s="13">
        <v>18.4</v>
      </c>
      <c r="F18" s="13">
        <v>20.2</v>
      </c>
      <c r="G18" s="13">
        <v>23</v>
      </c>
      <c r="H18" s="14">
        <f t="shared" si="0"/>
        <v>18</v>
      </c>
      <c r="I18" s="14">
        <f t="shared" si="1"/>
        <v>4</v>
      </c>
    </row>
    <row r="19" ht="16.5" customHeight="1"/>
    <row r="20" ht="16.5" customHeight="1"/>
    <row r="21" ht="16.5" customHeight="1"/>
    <row r="22" ht="18" customHeight="1"/>
    <row r="23" ht="18.75" customHeight="1"/>
    <row r="24" ht="16.5" customHeight="1"/>
    <row r="25" ht="16.5" customHeight="1"/>
    <row r="26" ht="16.5" customHeight="1"/>
    <row r="27" ht="16.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774"/>
  </sheetPr>
  <dimension ref="A1:I27"/>
  <sheetViews>
    <sheetView showGridLines="0" workbookViewId="0">
      <pane ySplit="2" topLeftCell="A4" activePane="bottomLeft" state="frozen"/>
      <selection/>
      <selection pane="bottomLeft" activeCell="A2" sqref="A2"/>
    </sheetView>
  </sheetViews>
  <sheetFormatPr defaultColWidth="9" defaultRowHeight="14"/>
  <cols>
    <col min="1" max="1" width="18.8916666666667" customWidth="1"/>
    <col min="2" max="2" width="19.1083333333333" customWidth="1"/>
    <col min="3" max="7" width="9.33333333333333" customWidth="1"/>
    <col min="8" max="8" width="9.55833333333333" customWidth="1"/>
    <col min="9" max="9" width="10.3333333333333" customWidth="1"/>
  </cols>
  <sheetData>
    <row r="1" ht="24" customHeight="1" spans="1:9">
      <c r="A1" s="1" t="s">
        <v>15</v>
      </c>
      <c r="B1" s="2"/>
      <c r="C1" s="2"/>
      <c r="D1" s="2"/>
      <c r="E1" s="2"/>
      <c r="F1" s="2"/>
      <c r="G1" s="2"/>
      <c r="H1" s="2"/>
      <c r="I1" s="2"/>
    </row>
    <row r="2" ht="18.75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16.5" customHeight="1" spans="1:9">
      <c r="A3" s="9">
        <v>100</v>
      </c>
      <c r="B3" s="2" t="s">
        <v>10</v>
      </c>
      <c r="C3" s="10">
        <v>98.3</v>
      </c>
      <c r="D3" s="10">
        <v>99</v>
      </c>
      <c r="E3" s="10">
        <v>99.3</v>
      </c>
      <c r="F3" s="10">
        <v>99.5</v>
      </c>
      <c r="G3" s="10">
        <v>99.9</v>
      </c>
      <c r="H3" s="11">
        <f t="shared" ref="H3:H18" si="0">IF(COUNT(C3:G3)=5,AVERAGE(C3:G3),"")</f>
        <v>99.2</v>
      </c>
      <c r="I3" s="11">
        <f t="shared" ref="I3:I18" si="1">IF(COUNT(C3:G3)=5,STDEV(C3:G3),"")</f>
        <v>0.600000000000003</v>
      </c>
    </row>
    <row r="4" ht="16.5" customHeight="1" spans="1:9">
      <c r="A4" s="9">
        <v>100</v>
      </c>
      <c r="B4" s="2" t="s">
        <v>11</v>
      </c>
      <c r="C4" s="10">
        <v>98.5</v>
      </c>
      <c r="D4" s="10">
        <v>98.7</v>
      </c>
      <c r="E4" s="10">
        <v>99.1</v>
      </c>
      <c r="F4" s="10">
        <v>99.2</v>
      </c>
      <c r="G4" s="10">
        <v>99.5</v>
      </c>
      <c r="H4" s="11">
        <f t="shared" si="0"/>
        <v>99</v>
      </c>
      <c r="I4" s="11">
        <f t="shared" si="1"/>
        <v>0.399999999999999</v>
      </c>
    </row>
    <row r="5" ht="16.5" customHeight="1" spans="1:9">
      <c r="A5" s="9">
        <v>100</v>
      </c>
      <c r="B5" s="2" t="s">
        <v>12</v>
      </c>
      <c r="C5" s="10">
        <v>85.9</v>
      </c>
      <c r="D5" s="10">
        <v>87</v>
      </c>
      <c r="E5" s="10">
        <v>88.1</v>
      </c>
      <c r="F5" s="10">
        <v>89.1</v>
      </c>
      <c r="G5" s="10">
        <v>89.9</v>
      </c>
      <c r="H5" s="11">
        <f t="shared" si="0"/>
        <v>88</v>
      </c>
      <c r="I5" s="11">
        <f t="shared" si="1"/>
        <v>1.6</v>
      </c>
    </row>
    <row r="6" ht="16.5" customHeight="1" spans="1:9">
      <c r="A6" s="12">
        <v>100</v>
      </c>
      <c r="B6" s="6" t="s">
        <v>13</v>
      </c>
      <c r="C6" s="13">
        <v>99.27</v>
      </c>
      <c r="D6" s="13">
        <v>99.86</v>
      </c>
      <c r="E6" s="13">
        <v>99.93</v>
      </c>
      <c r="F6" s="13">
        <v>99.95</v>
      </c>
      <c r="G6" s="13">
        <v>99.99</v>
      </c>
      <c r="H6" s="14">
        <f t="shared" si="0"/>
        <v>99.8</v>
      </c>
      <c r="I6" s="14">
        <f t="shared" si="1"/>
        <v>0.300000000000002</v>
      </c>
    </row>
    <row r="7" ht="16.5" customHeight="1" spans="1:9">
      <c r="A7" s="9">
        <v>95</v>
      </c>
      <c r="B7" s="2" t="s">
        <v>10</v>
      </c>
      <c r="C7" s="10">
        <v>72.3</v>
      </c>
      <c r="D7" s="10">
        <v>74.1</v>
      </c>
      <c r="E7" s="10">
        <v>76.3</v>
      </c>
      <c r="F7" s="10">
        <v>77.6</v>
      </c>
      <c r="G7" s="10">
        <v>79.7</v>
      </c>
      <c r="H7" s="11">
        <f t="shared" si="0"/>
        <v>76</v>
      </c>
      <c r="I7" s="11">
        <f t="shared" si="1"/>
        <v>2.9</v>
      </c>
    </row>
    <row r="8" ht="16.5" customHeight="1" spans="1:9">
      <c r="A8" s="9">
        <v>95</v>
      </c>
      <c r="B8" s="2" t="s">
        <v>11</v>
      </c>
      <c r="C8" s="10">
        <v>70.8</v>
      </c>
      <c r="D8" s="10">
        <v>72.5</v>
      </c>
      <c r="E8" s="10">
        <v>73.9</v>
      </c>
      <c r="F8" s="10">
        <v>75.7</v>
      </c>
      <c r="G8" s="10">
        <v>77.1</v>
      </c>
      <c r="H8" s="11">
        <f t="shared" si="0"/>
        <v>74</v>
      </c>
      <c r="I8" s="11">
        <f t="shared" si="1"/>
        <v>2.5</v>
      </c>
    </row>
    <row r="9" ht="16.5" customHeight="1" spans="1:9">
      <c r="A9" s="9">
        <v>95</v>
      </c>
      <c r="B9" s="2" t="s">
        <v>12</v>
      </c>
      <c r="C9" s="10">
        <v>64</v>
      </c>
      <c r="D9" s="10">
        <v>66.1</v>
      </c>
      <c r="E9" s="10">
        <v>68.1</v>
      </c>
      <c r="F9" s="10">
        <v>69.9</v>
      </c>
      <c r="G9" s="10">
        <v>71.9</v>
      </c>
      <c r="H9" s="11">
        <f t="shared" si="0"/>
        <v>68</v>
      </c>
      <c r="I9" s="11">
        <f t="shared" si="1"/>
        <v>3.1</v>
      </c>
    </row>
    <row r="10" ht="16.5" customHeight="1" spans="1:9">
      <c r="A10" s="12">
        <v>95</v>
      </c>
      <c r="B10" s="6" t="s">
        <v>13</v>
      </c>
      <c r="C10" s="13">
        <v>81.5</v>
      </c>
      <c r="D10" s="13">
        <v>83</v>
      </c>
      <c r="E10" s="13">
        <v>84.3</v>
      </c>
      <c r="F10" s="13">
        <v>85.1</v>
      </c>
      <c r="G10" s="13">
        <v>86.1</v>
      </c>
      <c r="H10" s="14">
        <f t="shared" si="0"/>
        <v>84</v>
      </c>
      <c r="I10" s="14">
        <f t="shared" si="1"/>
        <v>1.8</v>
      </c>
    </row>
    <row r="11" ht="16.5" customHeight="1" spans="1:9">
      <c r="A11" s="9">
        <v>90</v>
      </c>
      <c r="B11" s="2" t="s">
        <v>10</v>
      </c>
      <c r="C11" s="10">
        <v>44.5</v>
      </c>
      <c r="D11" s="10">
        <v>46.4</v>
      </c>
      <c r="E11" s="10">
        <v>49.3</v>
      </c>
      <c r="F11" s="10">
        <v>51.5</v>
      </c>
      <c r="G11" s="10">
        <v>53.3</v>
      </c>
      <c r="H11" s="11">
        <f t="shared" si="0"/>
        <v>49</v>
      </c>
      <c r="I11" s="11">
        <f t="shared" si="1"/>
        <v>3.6</v>
      </c>
    </row>
    <row r="12" ht="16.5" customHeight="1" spans="1:9">
      <c r="A12" s="9">
        <v>90</v>
      </c>
      <c r="B12" s="2" t="s">
        <v>11</v>
      </c>
      <c r="C12" s="10">
        <v>42.8</v>
      </c>
      <c r="D12" s="10">
        <v>45.3</v>
      </c>
      <c r="E12" s="10">
        <v>46.9</v>
      </c>
      <c r="F12" s="10">
        <v>48.9</v>
      </c>
      <c r="G12" s="10">
        <v>51.1</v>
      </c>
      <c r="H12" s="11">
        <f t="shared" si="0"/>
        <v>47</v>
      </c>
      <c r="I12" s="11">
        <f t="shared" si="1"/>
        <v>3.2</v>
      </c>
    </row>
    <row r="13" ht="16.5" customHeight="1" spans="1:9">
      <c r="A13" s="9">
        <v>90</v>
      </c>
      <c r="B13" s="2" t="s">
        <v>12</v>
      </c>
      <c r="C13" s="10">
        <v>40.7</v>
      </c>
      <c r="D13" s="10">
        <v>42.5</v>
      </c>
      <c r="E13" s="10">
        <v>45.1</v>
      </c>
      <c r="F13" s="10">
        <v>47.4</v>
      </c>
      <c r="G13" s="10">
        <v>49.3</v>
      </c>
      <c r="H13" s="11">
        <f t="shared" si="0"/>
        <v>45</v>
      </c>
      <c r="I13" s="11">
        <f t="shared" si="1"/>
        <v>3.5</v>
      </c>
    </row>
    <row r="14" ht="16.5" customHeight="1" spans="1:9">
      <c r="A14" s="12">
        <v>90</v>
      </c>
      <c r="B14" s="6" t="s">
        <v>13</v>
      </c>
      <c r="C14" s="13">
        <v>57.6</v>
      </c>
      <c r="D14" s="13">
        <v>59.6</v>
      </c>
      <c r="E14" s="13">
        <v>61</v>
      </c>
      <c r="F14" s="13">
        <v>62.4</v>
      </c>
      <c r="G14" s="13">
        <v>64.4</v>
      </c>
      <c r="H14" s="14">
        <f t="shared" si="0"/>
        <v>61</v>
      </c>
      <c r="I14" s="14">
        <f t="shared" si="1"/>
        <v>2.6</v>
      </c>
    </row>
    <row r="15" ht="16.5" customHeight="1" spans="1:9">
      <c r="A15" s="9">
        <v>80</v>
      </c>
      <c r="B15" s="2" t="s">
        <v>10</v>
      </c>
      <c r="C15" s="10">
        <v>17.5</v>
      </c>
      <c r="D15" s="10">
        <v>19.1</v>
      </c>
      <c r="E15" s="10">
        <v>21.1</v>
      </c>
      <c r="F15" s="10">
        <v>22.8</v>
      </c>
      <c r="G15" s="10">
        <v>24.5</v>
      </c>
      <c r="H15" s="11">
        <f t="shared" si="0"/>
        <v>21</v>
      </c>
      <c r="I15" s="11">
        <f t="shared" si="1"/>
        <v>2.8</v>
      </c>
    </row>
    <row r="16" ht="16.5" customHeight="1" spans="1:9">
      <c r="A16" s="9">
        <v>80</v>
      </c>
      <c r="B16" s="2" t="s">
        <v>11</v>
      </c>
      <c r="C16" s="10">
        <v>15</v>
      </c>
      <c r="D16" s="10">
        <v>17.1</v>
      </c>
      <c r="E16" s="10">
        <v>19.1</v>
      </c>
      <c r="F16" s="10">
        <v>20.9</v>
      </c>
      <c r="G16" s="10">
        <v>22.9</v>
      </c>
      <c r="H16" s="11">
        <f t="shared" si="0"/>
        <v>19</v>
      </c>
      <c r="I16" s="11">
        <f t="shared" si="1"/>
        <v>3.1</v>
      </c>
    </row>
    <row r="17" ht="16.5" customHeight="1" spans="1:9">
      <c r="A17" s="9">
        <v>80</v>
      </c>
      <c r="B17" s="2" t="s">
        <v>12</v>
      </c>
      <c r="C17" s="10">
        <v>13.6</v>
      </c>
      <c r="D17" s="10">
        <v>15.6</v>
      </c>
      <c r="E17" s="10">
        <v>17</v>
      </c>
      <c r="F17" s="10">
        <v>18.4</v>
      </c>
      <c r="G17" s="10">
        <v>20.4</v>
      </c>
      <c r="H17" s="11">
        <f t="shared" si="0"/>
        <v>17</v>
      </c>
      <c r="I17" s="11">
        <f t="shared" si="1"/>
        <v>2.6</v>
      </c>
    </row>
    <row r="18" ht="16.5" customHeight="1" spans="1:9">
      <c r="A18" s="12">
        <v>80</v>
      </c>
      <c r="B18" s="6" t="s">
        <v>13</v>
      </c>
      <c r="C18" s="13">
        <v>29.7</v>
      </c>
      <c r="D18" s="13">
        <v>31.5</v>
      </c>
      <c r="E18" s="13">
        <v>34.1</v>
      </c>
      <c r="F18" s="13">
        <v>36.4</v>
      </c>
      <c r="G18" s="13">
        <v>38.3</v>
      </c>
      <c r="H18" s="14">
        <f t="shared" si="0"/>
        <v>34</v>
      </c>
      <c r="I18" s="14">
        <f t="shared" si="1"/>
        <v>3.5</v>
      </c>
    </row>
    <row r="19" ht="16.5" customHeight="1"/>
    <row r="20" ht="16.5" customHeight="1"/>
    <row r="21" ht="16.5" customHeight="1"/>
    <row r="22" ht="18" customHeight="1"/>
    <row r="23" ht="18.75" customHeight="1"/>
    <row r="24" ht="16.5" customHeight="1"/>
    <row r="25" ht="16.5" customHeight="1"/>
    <row r="26" ht="16.5" customHeight="1"/>
    <row r="27" ht="16.5" customHeight="1"/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774"/>
  </sheetPr>
  <dimension ref="A1:I14"/>
  <sheetViews>
    <sheetView showGridLines="0" tabSelected="1" workbookViewId="0">
      <pane ySplit="2" topLeftCell="A4" activePane="bottomLeft" state="frozen"/>
      <selection/>
      <selection pane="bottomLeft" activeCell="C23" sqref="C23"/>
    </sheetView>
  </sheetViews>
  <sheetFormatPr defaultColWidth="9" defaultRowHeight="14"/>
  <cols>
    <col min="1" max="1" width="26.1083333333333" customWidth="1"/>
    <col min="2" max="2" width="19.1083333333333" customWidth="1"/>
    <col min="3" max="7" width="9.33333333333333" customWidth="1"/>
    <col min="8" max="8" width="9.55833333333333" customWidth="1"/>
    <col min="9" max="9" width="10.3333333333333" customWidth="1"/>
  </cols>
  <sheetData>
    <row r="1" ht="24" customHeight="1" spans="1:9">
      <c r="A1" s="1" t="s">
        <v>16</v>
      </c>
      <c r="B1" s="2"/>
      <c r="C1" s="2"/>
      <c r="D1" s="2"/>
      <c r="E1" s="2"/>
      <c r="F1" s="2"/>
      <c r="G1" s="2"/>
      <c r="H1" s="2"/>
      <c r="I1" s="2"/>
    </row>
    <row r="2" ht="18.75" customHeight="1" spans="1:9">
      <c r="A2" s="3" t="s">
        <v>17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16.5" customHeight="1" spans="1:9">
      <c r="A3" s="2" t="s">
        <v>18</v>
      </c>
      <c r="B3" s="2" t="s">
        <v>10</v>
      </c>
      <c r="C3" s="4">
        <v>0.923</v>
      </c>
      <c r="D3" s="4">
        <v>0.93</v>
      </c>
      <c r="E3" s="4">
        <v>0.937</v>
      </c>
      <c r="F3" s="4">
        <v>0.941</v>
      </c>
      <c r="G3" s="4">
        <v>0.949</v>
      </c>
      <c r="H3" s="5">
        <f t="shared" ref="H3:H14" si="0">IF(COUNT(C3:G3)=5,AVERAGE(C3:G3),"")</f>
        <v>0.936</v>
      </c>
      <c r="I3" s="5">
        <f t="shared" ref="I3:I14" si="1">IF(COUNT(C3:G3)=5,STDEV(C3:G3),"")</f>
        <v>0.00999999999999996</v>
      </c>
    </row>
    <row r="4" ht="16.5" customHeight="1" spans="1:9">
      <c r="A4" s="2" t="s">
        <v>18</v>
      </c>
      <c r="B4" s="2" t="s">
        <v>11</v>
      </c>
      <c r="C4" s="4">
        <v>0.926</v>
      </c>
      <c r="D4" s="4">
        <v>0.936</v>
      </c>
      <c r="E4" s="4">
        <v>0.939</v>
      </c>
      <c r="F4" s="4">
        <v>0.944</v>
      </c>
      <c r="G4" s="4">
        <v>0.95</v>
      </c>
      <c r="H4" s="5">
        <f t="shared" si="0"/>
        <v>0.939</v>
      </c>
      <c r="I4" s="5">
        <f t="shared" si="1"/>
        <v>0.00899999999999996</v>
      </c>
    </row>
    <row r="5" ht="16.5" customHeight="1" spans="1:9">
      <c r="A5" s="2" t="s">
        <v>18</v>
      </c>
      <c r="B5" s="2" t="s">
        <v>12</v>
      </c>
      <c r="C5" s="4">
        <v>0.928</v>
      </c>
      <c r="D5" s="4">
        <v>0.935</v>
      </c>
      <c r="E5" s="4">
        <v>0.942</v>
      </c>
      <c r="F5" s="4">
        <v>0.946</v>
      </c>
      <c r="G5" s="4">
        <v>0.954</v>
      </c>
      <c r="H5" s="5">
        <f t="shared" si="0"/>
        <v>0.941</v>
      </c>
      <c r="I5" s="5">
        <f t="shared" si="1"/>
        <v>0.00999999999999996</v>
      </c>
    </row>
    <row r="6" ht="16.5" customHeight="1" spans="1:9">
      <c r="A6" s="6" t="s">
        <v>18</v>
      </c>
      <c r="B6" s="6" t="s">
        <v>13</v>
      </c>
      <c r="C6" s="7">
        <v>0.932</v>
      </c>
      <c r="D6" s="7">
        <v>0.94</v>
      </c>
      <c r="E6" s="7">
        <v>0.942</v>
      </c>
      <c r="F6" s="7">
        <v>0.948</v>
      </c>
      <c r="G6" s="7">
        <v>0.953</v>
      </c>
      <c r="H6" s="8">
        <f t="shared" si="0"/>
        <v>0.943</v>
      </c>
      <c r="I6" s="8">
        <f t="shared" si="1"/>
        <v>0.00799999999999997</v>
      </c>
    </row>
    <row r="7" ht="16.5" customHeight="1" spans="1:9">
      <c r="A7" s="2" t="s">
        <v>19</v>
      </c>
      <c r="B7" s="2" t="s">
        <v>10</v>
      </c>
      <c r="C7" s="4">
        <v>0.911</v>
      </c>
      <c r="D7" s="4">
        <v>0.921</v>
      </c>
      <c r="E7" s="4">
        <v>0.928</v>
      </c>
      <c r="F7" s="4">
        <v>0.935</v>
      </c>
      <c r="G7" s="4">
        <v>0.945</v>
      </c>
      <c r="H7" s="5">
        <f t="shared" si="0"/>
        <v>0.928</v>
      </c>
      <c r="I7" s="5">
        <f t="shared" si="1"/>
        <v>0.013</v>
      </c>
    </row>
    <row r="8" ht="16.5" customHeight="1" spans="1:9">
      <c r="A8" s="2" t="s">
        <v>19</v>
      </c>
      <c r="B8" s="2" t="s">
        <v>11</v>
      </c>
      <c r="C8" s="4">
        <v>0.914</v>
      </c>
      <c r="D8" s="4">
        <v>0.926</v>
      </c>
      <c r="E8" s="4">
        <v>0.932</v>
      </c>
      <c r="F8" s="4">
        <v>0.937</v>
      </c>
      <c r="G8" s="4">
        <v>0.946</v>
      </c>
      <c r="H8" s="5">
        <f t="shared" si="0"/>
        <v>0.931</v>
      </c>
      <c r="I8" s="5">
        <f t="shared" si="1"/>
        <v>0.012</v>
      </c>
    </row>
    <row r="9" ht="16.5" customHeight="1" spans="1:9">
      <c r="A9" s="2" t="s">
        <v>19</v>
      </c>
      <c r="B9" s="2" t="s">
        <v>12</v>
      </c>
      <c r="C9" s="4">
        <v>0.919</v>
      </c>
      <c r="D9" s="4">
        <v>0.929</v>
      </c>
      <c r="E9" s="4">
        <v>0.933</v>
      </c>
      <c r="F9" s="4">
        <v>0.942</v>
      </c>
      <c r="G9" s="4">
        <v>0.947</v>
      </c>
      <c r="H9" s="5">
        <f t="shared" si="0"/>
        <v>0.934</v>
      </c>
      <c r="I9" s="5">
        <f t="shared" si="1"/>
        <v>0.011</v>
      </c>
    </row>
    <row r="10" ht="16.5" customHeight="1" spans="1:9">
      <c r="A10" s="6" t="s">
        <v>19</v>
      </c>
      <c r="B10" s="6" t="s">
        <v>13</v>
      </c>
      <c r="C10" s="7">
        <v>0.923</v>
      </c>
      <c r="D10" s="7">
        <v>0.93</v>
      </c>
      <c r="E10" s="7">
        <v>0.937</v>
      </c>
      <c r="F10" s="7">
        <v>0.941</v>
      </c>
      <c r="G10" s="7">
        <v>0.949</v>
      </c>
      <c r="H10" s="8">
        <f t="shared" si="0"/>
        <v>0.936</v>
      </c>
      <c r="I10" s="8">
        <f t="shared" si="1"/>
        <v>0.00999999999999996</v>
      </c>
    </row>
    <row r="11" ht="16.5" customHeight="1" spans="1:9">
      <c r="A11" s="2" t="s">
        <v>20</v>
      </c>
      <c r="B11" s="2" t="s">
        <v>10</v>
      </c>
      <c r="C11" s="4">
        <v>0.927</v>
      </c>
      <c r="D11" s="4">
        <v>0.937</v>
      </c>
      <c r="E11" s="4">
        <v>0.94</v>
      </c>
      <c r="F11" s="4">
        <v>0.945</v>
      </c>
      <c r="G11" s="4">
        <v>0.951</v>
      </c>
      <c r="H11" s="5">
        <f t="shared" si="0"/>
        <v>0.94</v>
      </c>
      <c r="I11" s="5">
        <f t="shared" si="1"/>
        <v>0.00899999999999996</v>
      </c>
    </row>
    <row r="12" ht="16.5" customHeight="1" spans="1:9">
      <c r="A12" s="2" t="s">
        <v>20</v>
      </c>
      <c r="B12" s="2" t="s">
        <v>11</v>
      </c>
      <c r="C12" s="4">
        <v>0.933</v>
      </c>
      <c r="D12" s="4">
        <v>0.941</v>
      </c>
      <c r="E12" s="4">
        <v>0.943</v>
      </c>
      <c r="F12" s="4">
        <v>0.949</v>
      </c>
      <c r="G12" s="4">
        <v>0.954</v>
      </c>
      <c r="H12" s="5">
        <f t="shared" si="0"/>
        <v>0.944</v>
      </c>
      <c r="I12" s="5">
        <f t="shared" si="1"/>
        <v>0.00799999999999997</v>
      </c>
    </row>
    <row r="13" ht="16.5" customHeight="1" spans="1:9">
      <c r="A13" s="2" t="s">
        <v>20</v>
      </c>
      <c r="B13" s="2" t="s">
        <v>12</v>
      </c>
      <c r="C13" s="4">
        <v>0.933</v>
      </c>
      <c r="D13" s="4">
        <v>0.943</v>
      </c>
      <c r="E13" s="4">
        <v>0.946</v>
      </c>
      <c r="F13" s="4">
        <v>0.951</v>
      </c>
      <c r="G13" s="4">
        <v>0.957</v>
      </c>
      <c r="H13" s="5">
        <f t="shared" si="0"/>
        <v>0.946</v>
      </c>
      <c r="I13" s="5">
        <f t="shared" si="1"/>
        <v>0.00899999999999997</v>
      </c>
    </row>
    <row r="14" ht="16.5" customHeight="1" spans="1:9">
      <c r="A14" s="6" t="s">
        <v>20</v>
      </c>
      <c r="B14" s="6" t="s">
        <v>13</v>
      </c>
      <c r="C14" s="7">
        <v>0.939</v>
      </c>
      <c r="D14" s="7">
        <v>0.943</v>
      </c>
      <c r="E14" s="7">
        <v>0.949</v>
      </c>
      <c r="F14" s="7">
        <v>0.953</v>
      </c>
      <c r="G14" s="7">
        <v>0.956</v>
      </c>
      <c r="H14" s="8">
        <f t="shared" si="0"/>
        <v>0.948</v>
      </c>
      <c r="I14" s="8">
        <f t="shared" si="1"/>
        <v>0.00700000000000001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 Substitutions</vt:lpstr>
      <vt:lpstr>b ProteinMPNN</vt:lpstr>
      <vt:lpstr>c pLM optimization</vt:lpstr>
      <vt:lpstr>d Structural fidelity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zaixi</cp:lastModifiedBy>
  <dcterms:created xsi:type="dcterms:W3CDTF">2026-11-01T02:16:00Z</dcterms:created>
  <dcterms:modified xsi:type="dcterms:W3CDTF">2026-11-01T02:30:10Z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51ACE8331EFE4EAAA6127F97100DA4CD_12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